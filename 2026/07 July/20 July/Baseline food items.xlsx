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rishavb/Desktop/"/>
    </mc:Choice>
  </mc:AlternateContent>
  <xr:revisionPtr revIDLastSave="0" documentId="13_ncr:1_{25634738-0C39-D446-8D01-31AEDD1B5DD8}" xr6:coauthVersionLast="47" xr6:coauthVersionMax="47" xr10:uidLastSave="{00000000-0000-0000-0000-000000000000}"/>
  <bookViews>
    <workbookView xWindow="0" yWindow="760" windowWidth="34560" windowHeight="21580" xr2:uid="{702C079E-730B-1F4D-B170-1585BC693E47}"/>
  </bookViews>
  <sheets>
    <sheet name="Calories of foo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46" i="1" l="1"/>
  <c r="N44" i="1"/>
  <c r="N47" i="1"/>
  <c r="N50" i="1"/>
  <c r="N51" i="1"/>
  <c r="N52" i="1"/>
  <c r="J52" i="1"/>
  <c r="O52" i="1" s="1"/>
  <c r="J51" i="1"/>
  <c r="J50" i="1"/>
  <c r="J49" i="1"/>
  <c r="N49" i="1" s="1"/>
  <c r="J43" i="1"/>
  <c r="O43" i="1" s="1"/>
  <c r="J44" i="1"/>
  <c r="O44" i="1" s="1"/>
  <c r="J45" i="1"/>
  <c r="O45" i="1" s="1"/>
  <c r="J46" i="1"/>
  <c r="O46" i="1" s="1"/>
  <c r="J47" i="1"/>
  <c r="J48" i="1"/>
  <c r="O48" i="1" s="1"/>
  <c r="J42" i="1"/>
  <c r="N42" i="1" s="1"/>
  <c r="N57" i="1" l="1"/>
  <c r="O49" i="1"/>
  <c r="O50" i="1"/>
  <c r="O51" i="1"/>
  <c r="N48" i="1"/>
  <c r="O42" i="1"/>
  <c r="N45" i="1"/>
  <c r="N43" i="1"/>
  <c r="O47" i="1"/>
  <c r="O57" i="1" s="1"/>
  <c r="O59" i="1" l="1"/>
  <c r="N59" i="1"/>
</calcChain>
</file>

<file path=xl/sharedStrings.xml><?xml version="1.0" encoding="utf-8"?>
<sst xmlns="http://schemas.openxmlformats.org/spreadsheetml/2006/main" count="133" uniqueCount="97">
  <si>
    <t>Food Item</t>
  </si>
  <si>
    <t>Protein / 100g</t>
  </si>
  <si>
    <t>Kcal / 100g</t>
  </si>
  <si>
    <t>Carbs / 100g</t>
  </si>
  <si>
    <t>Fat/100g</t>
  </si>
  <si>
    <t>Almond Butter</t>
  </si>
  <si>
    <t>Anjeer</t>
  </si>
  <si>
    <t>Red Lentils Daal</t>
  </si>
  <si>
    <t>Yellow Moong Daal</t>
  </si>
  <si>
    <t>Chana Daal</t>
  </si>
  <si>
    <t>Chicken breast</t>
  </si>
  <si>
    <t>Digestive Biscuits</t>
  </si>
  <si>
    <t>Protein Shake</t>
  </si>
  <si>
    <t>Monday</t>
  </si>
  <si>
    <t>Tuesday</t>
  </si>
  <si>
    <t>Wednesday</t>
  </si>
  <si>
    <t>Thursday</t>
  </si>
  <si>
    <t>Friday</t>
  </si>
  <si>
    <t>Saturday</t>
  </si>
  <si>
    <t>Sunday</t>
  </si>
  <si>
    <t>Banana</t>
  </si>
  <si>
    <t>Watermelon</t>
  </si>
  <si>
    <t>Dates</t>
  </si>
  <si>
    <t>Adhoc Snacks</t>
  </si>
  <si>
    <t>Oil</t>
  </si>
  <si>
    <t>Pre Workout</t>
  </si>
  <si>
    <t>Curd</t>
  </si>
  <si>
    <t>Veggies</t>
  </si>
  <si>
    <t>Chicken Meal</t>
  </si>
  <si>
    <t xml:space="preserve">Daal Meal </t>
  </si>
  <si>
    <t xml:space="preserve"> </t>
  </si>
  <si>
    <t>Yellow Moong Daal uncooked</t>
  </si>
  <si>
    <t>100g</t>
  </si>
  <si>
    <t>Red Lentils uncooked</t>
  </si>
  <si>
    <t>Chana daal uncooked</t>
  </si>
  <si>
    <t>50g</t>
  </si>
  <si>
    <t xml:space="preserve">2 my spoon oil </t>
  </si>
  <si>
    <t>6g</t>
  </si>
  <si>
    <t>1 pouch maggie maggic masala</t>
  </si>
  <si>
    <t>Chicken Breast</t>
  </si>
  <si>
    <t>450g</t>
  </si>
  <si>
    <t>200g</t>
  </si>
  <si>
    <t>1 my spoon of ginger garlic paste</t>
  </si>
  <si>
    <t>1 my spoon of rice flour</t>
  </si>
  <si>
    <t xml:space="preserve">Anjeer </t>
  </si>
  <si>
    <t>Almond butter</t>
  </si>
  <si>
    <t>2 my spoon oil</t>
  </si>
  <si>
    <t>Egg Breakfast</t>
  </si>
  <si>
    <t>6 eggs</t>
  </si>
  <si>
    <t>some veggies</t>
  </si>
  <si>
    <t>30g</t>
  </si>
  <si>
    <t>42(sugar)</t>
  </si>
  <si>
    <t xml:space="preserve">Eggs ( 1egg macro ) </t>
  </si>
  <si>
    <t>65(sugar)</t>
  </si>
  <si>
    <t xml:space="preserve">Meals </t>
  </si>
  <si>
    <t>Banana (edible portion)</t>
  </si>
  <si>
    <t>Watermelon ( edible portion)</t>
  </si>
  <si>
    <t>Dates (edible portion)</t>
  </si>
  <si>
    <t>Garlic Butter</t>
  </si>
  <si>
    <t xml:space="preserve">0 calories </t>
  </si>
  <si>
    <t>0 calories</t>
  </si>
  <si>
    <t xml:space="preserve">below the numbers represent x meaning , the meal mentioned in colours times x portion is what am having </t>
  </si>
  <si>
    <t>Office Lunch</t>
  </si>
  <si>
    <t>600 kcal</t>
  </si>
  <si>
    <t>Digestive Biscuit</t>
  </si>
  <si>
    <t>1 biscuit 8.5g</t>
  </si>
  <si>
    <t>Protein</t>
  </si>
  <si>
    <t>Energy</t>
  </si>
  <si>
    <t>25g</t>
  </si>
  <si>
    <t xml:space="preserve">Protein shake 1 scoop </t>
  </si>
  <si>
    <t xml:space="preserve">1 scoop </t>
  </si>
  <si>
    <t>Total Kcal</t>
  </si>
  <si>
    <t>Total Units</t>
  </si>
  <si>
    <t>kcal of meal</t>
  </si>
  <si>
    <t>Weekly Total</t>
  </si>
  <si>
    <t>Weekly Avg</t>
  </si>
  <si>
    <t>Protein of meal</t>
  </si>
  <si>
    <t>Total Protein</t>
  </si>
  <si>
    <t xml:space="preserve">3 Daals (Moong , Lentils , Chana) </t>
  </si>
  <si>
    <t xml:space="preserve">Chicken 450g Raw </t>
  </si>
  <si>
    <t xml:space="preserve">Anjeer Snacks </t>
  </si>
  <si>
    <t xml:space="preserve">6 Eggs  </t>
  </si>
  <si>
    <t xml:space="preserve">Office Meal </t>
  </si>
  <si>
    <t xml:space="preserve">Digestive Biscuits </t>
  </si>
  <si>
    <t xml:space="preserve">Protein Shake </t>
  </si>
  <si>
    <t>1 tbs Oil</t>
  </si>
  <si>
    <t>Curd ( 200g ) packet</t>
  </si>
  <si>
    <t>&lt;- This colour signifies , it will be cut during ultra low calorie phase</t>
  </si>
  <si>
    <t>Chia Seeds</t>
  </si>
  <si>
    <t>Watermelon Seeds</t>
  </si>
  <si>
    <t>Sunflower Seeds</t>
  </si>
  <si>
    <t>Flax Seeds</t>
  </si>
  <si>
    <t xml:space="preserve">Seeds Meal </t>
  </si>
  <si>
    <t>Seed Meal</t>
  </si>
  <si>
    <t>3g</t>
  </si>
  <si>
    <t>4g</t>
  </si>
  <si>
    <t>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</si>
</sst>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AD917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D91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CFC55-D2EC-5B4F-9B2D-EBE6F4AC41F4}">
  <dimension ref="A3:Z59"/>
  <sheetViews>
    <sheetView tabSelected="1" topLeftCell="A8" zoomScale="135" workbookViewId="0">
      <selection activeCell="H20" sqref="H20"/>
    </sheetView>
  </sheetViews>
  <sheetFormatPr baseColWidth="10" defaultRowHeight="16" x14ac:dyDescent="0.2"/>
  <cols>
    <col min="1" max="1" width="30.5" customWidth="1"/>
    <col min="2" max="2" width="8.5" customWidth="1"/>
    <col min="3" max="3" width="7" customWidth="1"/>
    <col min="4" max="4" width="25.83203125" customWidth="1"/>
    <col min="5" max="5" width="9.1640625" customWidth="1"/>
    <col min="6" max="6" width="8.6640625" customWidth="1"/>
    <col min="7" max="7" width="12.33203125" customWidth="1"/>
    <col min="10" max="10" width="14.83203125" customWidth="1"/>
    <col min="11" max="11" width="14" customWidth="1"/>
    <col min="13" max="13" width="11.1640625" customWidth="1"/>
    <col min="25" max="25" width="18.1640625" customWidth="1"/>
  </cols>
  <sheetData>
    <row r="3" spans="1:5" x14ac:dyDescent="0.2">
      <c r="A3" t="s">
        <v>0</v>
      </c>
      <c r="B3" t="s">
        <v>2</v>
      </c>
      <c r="C3" t="s">
        <v>1</v>
      </c>
      <c r="D3" t="s">
        <v>3</v>
      </c>
      <c r="E3" t="s">
        <v>4</v>
      </c>
    </row>
    <row r="5" spans="1:5" x14ac:dyDescent="0.2">
      <c r="A5" t="s">
        <v>5</v>
      </c>
      <c r="B5">
        <v>580</v>
      </c>
      <c r="C5">
        <v>24</v>
      </c>
      <c r="D5">
        <v>22</v>
      </c>
      <c r="E5">
        <v>49</v>
      </c>
    </row>
    <row r="6" spans="1:5" x14ac:dyDescent="0.2">
      <c r="A6" t="s">
        <v>6</v>
      </c>
      <c r="B6">
        <v>339</v>
      </c>
      <c r="C6">
        <v>0</v>
      </c>
      <c r="D6">
        <v>82</v>
      </c>
      <c r="E6" t="s">
        <v>51</v>
      </c>
    </row>
    <row r="7" spans="1:5" x14ac:dyDescent="0.2">
      <c r="A7" t="s">
        <v>8</v>
      </c>
      <c r="B7">
        <v>347</v>
      </c>
      <c r="C7">
        <v>24</v>
      </c>
      <c r="D7">
        <v>63</v>
      </c>
      <c r="E7">
        <v>1.2</v>
      </c>
    </row>
    <row r="8" spans="1:5" x14ac:dyDescent="0.2">
      <c r="A8" t="s">
        <v>7</v>
      </c>
      <c r="B8">
        <v>350</v>
      </c>
      <c r="C8">
        <v>25</v>
      </c>
      <c r="D8">
        <v>60</v>
      </c>
      <c r="E8">
        <v>1</v>
      </c>
    </row>
    <row r="9" spans="1:5" x14ac:dyDescent="0.2">
      <c r="A9" t="s">
        <v>9</v>
      </c>
      <c r="B9">
        <v>380</v>
      </c>
      <c r="C9">
        <v>22</v>
      </c>
      <c r="D9">
        <v>63</v>
      </c>
      <c r="E9">
        <v>6</v>
      </c>
    </row>
    <row r="10" spans="1:5" x14ac:dyDescent="0.2">
      <c r="A10" t="s">
        <v>10</v>
      </c>
      <c r="B10">
        <v>120</v>
      </c>
      <c r="C10">
        <v>23</v>
      </c>
      <c r="D10">
        <v>0</v>
      </c>
      <c r="E10">
        <v>2.6</v>
      </c>
    </row>
    <row r="11" spans="1:5" x14ac:dyDescent="0.2">
      <c r="A11" t="s">
        <v>11</v>
      </c>
      <c r="B11">
        <v>483</v>
      </c>
      <c r="C11">
        <v>0</v>
      </c>
      <c r="D11">
        <v>68</v>
      </c>
      <c r="E11">
        <v>20.8</v>
      </c>
    </row>
    <row r="12" spans="1:5" x14ac:dyDescent="0.2">
      <c r="A12" t="s">
        <v>12</v>
      </c>
      <c r="B12">
        <v>408.1</v>
      </c>
      <c r="C12">
        <v>79</v>
      </c>
      <c r="D12">
        <v>8.4</v>
      </c>
      <c r="E12">
        <v>6.5</v>
      </c>
    </row>
    <row r="13" spans="1:5" x14ac:dyDescent="0.2">
      <c r="A13" t="s">
        <v>55</v>
      </c>
      <c r="B13">
        <v>89</v>
      </c>
      <c r="C13">
        <v>0</v>
      </c>
      <c r="D13">
        <v>23</v>
      </c>
      <c r="E13">
        <v>0.3</v>
      </c>
    </row>
    <row r="14" spans="1:5" x14ac:dyDescent="0.2">
      <c r="A14" t="s">
        <v>56</v>
      </c>
      <c r="B14">
        <v>30</v>
      </c>
      <c r="C14">
        <v>0</v>
      </c>
      <c r="D14">
        <v>8</v>
      </c>
      <c r="E14">
        <v>0.2</v>
      </c>
    </row>
    <row r="15" spans="1:5" x14ac:dyDescent="0.2">
      <c r="A15" t="s">
        <v>57</v>
      </c>
      <c r="B15">
        <v>328</v>
      </c>
      <c r="C15">
        <v>0</v>
      </c>
      <c r="D15">
        <v>80</v>
      </c>
      <c r="E15" t="s">
        <v>53</v>
      </c>
    </row>
    <row r="16" spans="1:5" x14ac:dyDescent="0.2">
      <c r="A16" t="s">
        <v>24</v>
      </c>
      <c r="B16">
        <v>900</v>
      </c>
      <c r="C16">
        <v>0</v>
      </c>
      <c r="D16">
        <v>0</v>
      </c>
      <c r="E16">
        <v>100</v>
      </c>
    </row>
    <row r="17" spans="1:26" x14ac:dyDescent="0.2">
      <c r="A17" t="s">
        <v>52</v>
      </c>
      <c r="B17">
        <v>63</v>
      </c>
      <c r="C17">
        <v>5.5</v>
      </c>
      <c r="D17">
        <v>0.3</v>
      </c>
      <c r="E17">
        <v>4.2</v>
      </c>
    </row>
    <row r="18" spans="1:26" x14ac:dyDescent="0.2">
      <c r="A18" t="s">
        <v>26</v>
      </c>
      <c r="B18">
        <v>61.8</v>
      </c>
      <c r="C18">
        <v>0</v>
      </c>
      <c r="D18">
        <v>5.2</v>
      </c>
      <c r="E18">
        <v>3</v>
      </c>
    </row>
    <row r="19" spans="1:26" x14ac:dyDescent="0.2">
      <c r="A19" t="s">
        <v>58</v>
      </c>
      <c r="B19">
        <v>695</v>
      </c>
      <c r="C19">
        <v>0</v>
      </c>
      <c r="D19">
        <v>0</v>
      </c>
      <c r="E19">
        <v>77</v>
      </c>
    </row>
    <row r="20" spans="1:26" x14ac:dyDescent="0.2">
      <c r="A20" t="s">
        <v>27</v>
      </c>
      <c r="B20">
        <v>20</v>
      </c>
      <c r="C20">
        <v>0</v>
      </c>
      <c r="D20">
        <v>4</v>
      </c>
      <c r="E20">
        <v>0</v>
      </c>
    </row>
    <row r="21" spans="1:26" x14ac:dyDescent="0.2">
      <c r="A21" t="s">
        <v>88</v>
      </c>
      <c r="B21">
        <v>486</v>
      </c>
      <c r="C21">
        <v>0</v>
      </c>
      <c r="D21">
        <v>0</v>
      </c>
      <c r="E21">
        <v>0</v>
      </c>
    </row>
    <row r="22" spans="1:26" x14ac:dyDescent="0.2">
      <c r="A22" t="s">
        <v>90</v>
      </c>
      <c r="B22">
        <v>557</v>
      </c>
      <c r="C22">
        <v>0</v>
      </c>
      <c r="D22">
        <v>0</v>
      </c>
      <c r="E22">
        <v>0</v>
      </c>
    </row>
    <row r="23" spans="1:26" x14ac:dyDescent="0.2">
      <c r="A23" t="s">
        <v>91</v>
      </c>
      <c r="B23">
        <v>534</v>
      </c>
      <c r="C23">
        <v>0</v>
      </c>
      <c r="D23">
        <v>0</v>
      </c>
      <c r="E23">
        <v>0</v>
      </c>
    </row>
    <row r="24" spans="1:26" x14ac:dyDescent="0.2">
      <c r="A24" t="s">
        <v>89</v>
      </c>
      <c r="B24">
        <v>584</v>
      </c>
      <c r="C24">
        <v>0</v>
      </c>
      <c r="D24">
        <v>0</v>
      </c>
      <c r="E24">
        <v>0</v>
      </c>
    </row>
    <row r="26" spans="1:26" x14ac:dyDescent="0.2">
      <c r="A26" t="s">
        <v>54</v>
      </c>
    </row>
    <row r="28" spans="1:26" x14ac:dyDescent="0.2">
      <c r="A28" s="1" t="s">
        <v>29</v>
      </c>
      <c r="B28" s="1" t="s">
        <v>30</v>
      </c>
      <c r="D28" s="2" t="s">
        <v>28</v>
      </c>
      <c r="E28" s="2"/>
      <c r="G28" s="3" t="s">
        <v>23</v>
      </c>
      <c r="H28" s="3"/>
      <c r="J28" s="4" t="s">
        <v>47</v>
      </c>
      <c r="K28" s="4"/>
      <c r="M28" s="5" t="s">
        <v>25</v>
      </c>
      <c r="N28" s="5"/>
      <c r="P28" s="6" t="s">
        <v>62</v>
      </c>
      <c r="Q28" s="6"/>
      <c r="S28" s="7" t="s">
        <v>64</v>
      </c>
      <c r="T28" s="7"/>
      <c r="V28" s="8" t="s">
        <v>69</v>
      </c>
      <c r="W28" s="8"/>
      <c r="Y28" s="10" t="s">
        <v>92</v>
      </c>
      <c r="Z28" s="10"/>
    </row>
    <row r="29" spans="1:26" x14ac:dyDescent="0.2">
      <c r="A29" s="1"/>
      <c r="B29" s="1"/>
      <c r="D29" s="2"/>
      <c r="E29" s="2"/>
      <c r="G29" s="3"/>
      <c r="H29" s="3"/>
      <c r="J29" s="4"/>
      <c r="K29" s="4"/>
      <c r="M29" s="5"/>
      <c r="N29" s="5"/>
      <c r="P29" s="6"/>
      <c r="Q29" s="6"/>
      <c r="S29" s="7"/>
      <c r="T29" s="7"/>
      <c r="V29" s="8"/>
      <c r="W29" s="8"/>
      <c r="Y29" s="10"/>
      <c r="Z29" s="10"/>
    </row>
    <row r="30" spans="1:26" x14ac:dyDescent="0.2">
      <c r="A30" s="1" t="s">
        <v>31</v>
      </c>
      <c r="B30" s="1" t="s">
        <v>32</v>
      </c>
      <c r="D30" s="2" t="s">
        <v>39</v>
      </c>
      <c r="E30" s="2" t="s">
        <v>40</v>
      </c>
      <c r="G30" s="3" t="s">
        <v>44</v>
      </c>
      <c r="H30" s="3" t="s">
        <v>32</v>
      </c>
      <c r="J30" s="4" t="s">
        <v>48</v>
      </c>
      <c r="K30" s="4"/>
      <c r="M30" s="5" t="s">
        <v>20</v>
      </c>
      <c r="N30" s="5" t="s">
        <v>32</v>
      </c>
      <c r="P30" s="6" t="s">
        <v>63</v>
      </c>
      <c r="Q30" s="6"/>
      <c r="S30" s="7" t="s">
        <v>65</v>
      </c>
      <c r="T30" s="7"/>
      <c r="V30" s="8" t="s">
        <v>70</v>
      </c>
      <c r="W30" s="8" t="s">
        <v>50</v>
      </c>
      <c r="Y30" s="10" t="s">
        <v>88</v>
      </c>
      <c r="Z30" s="10" t="s">
        <v>94</v>
      </c>
    </row>
    <row r="31" spans="1:26" x14ac:dyDescent="0.2">
      <c r="A31" s="1" t="s">
        <v>33</v>
      </c>
      <c r="B31" s="1" t="s">
        <v>32</v>
      </c>
      <c r="D31" s="2" t="s">
        <v>26</v>
      </c>
      <c r="E31" s="2" t="s">
        <v>41</v>
      </c>
      <c r="G31" s="3" t="s">
        <v>45</v>
      </c>
      <c r="H31" s="3" t="s">
        <v>41</v>
      </c>
      <c r="J31" s="4" t="s">
        <v>46</v>
      </c>
      <c r="K31" s="4" t="s">
        <v>37</v>
      </c>
      <c r="M31" s="5" t="s">
        <v>21</v>
      </c>
      <c r="N31" s="5" t="s">
        <v>32</v>
      </c>
      <c r="P31" s="6"/>
      <c r="Q31" s="6"/>
      <c r="S31" s="7"/>
      <c r="T31" s="7"/>
      <c r="V31" s="8"/>
      <c r="W31" s="8"/>
      <c r="Y31" s="10" t="s">
        <v>91</v>
      </c>
      <c r="Z31" s="10" t="s">
        <v>95</v>
      </c>
    </row>
    <row r="32" spans="1:26" x14ac:dyDescent="0.2">
      <c r="A32" s="1" t="s">
        <v>34</v>
      </c>
      <c r="B32" s="1" t="s">
        <v>35</v>
      </c>
      <c r="D32" s="2" t="s">
        <v>42</v>
      </c>
      <c r="E32" s="2" t="s">
        <v>60</v>
      </c>
      <c r="G32" s="3"/>
      <c r="H32" s="3"/>
      <c r="J32" s="4" t="s">
        <v>49</v>
      </c>
      <c r="K32" s="4" t="s">
        <v>32</v>
      </c>
      <c r="M32" s="5" t="s">
        <v>22</v>
      </c>
      <c r="N32" s="5" t="s">
        <v>68</v>
      </c>
      <c r="P32" s="6"/>
      <c r="Q32" s="6"/>
      <c r="S32" s="7"/>
      <c r="T32" s="7"/>
      <c r="V32" s="8"/>
      <c r="W32" s="8"/>
      <c r="Y32" s="10"/>
      <c r="Z32" s="10" t="s">
        <v>96</v>
      </c>
    </row>
    <row r="33" spans="1:26" x14ac:dyDescent="0.2">
      <c r="A33" s="1" t="s">
        <v>36</v>
      </c>
      <c r="B33" s="1" t="s">
        <v>37</v>
      </c>
      <c r="D33" s="2" t="s">
        <v>43</v>
      </c>
      <c r="E33" s="2" t="s">
        <v>60</v>
      </c>
      <c r="G33" s="3"/>
      <c r="H33" s="3"/>
      <c r="J33" s="4"/>
      <c r="K33" s="4"/>
      <c r="M33" s="5"/>
      <c r="N33" s="5"/>
      <c r="P33" s="6"/>
      <c r="Q33" s="6"/>
      <c r="S33" s="7"/>
      <c r="T33" s="7"/>
      <c r="V33" s="8"/>
      <c r="W33" s="8"/>
      <c r="Y33" s="10" t="s">
        <v>89</v>
      </c>
      <c r="Z33" s="10" t="s">
        <v>94</v>
      </c>
    </row>
    <row r="34" spans="1:26" x14ac:dyDescent="0.2">
      <c r="A34" s="1" t="s">
        <v>38</v>
      </c>
      <c r="B34" s="1" t="s">
        <v>59</v>
      </c>
      <c r="D34" s="2" t="s">
        <v>46</v>
      </c>
      <c r="E34" s="2" t="s">
        <v>37</v>
      </c>
      <c r="G34" s="3"/>
      <c r="H34" s="3"/>
      <c r="J34" s="4"/>
      <c r="K34" s="4"/>
      <c r="M34" s="5"/>
      <c r="N34" s="5"/>
      <c r="P34" s="6"/>
      <c r="Q34" s="6"/>
      <c r="S34" s="7"/>
      <c r="T34" s="7"/>
      <c r="V34" s="8"/>
      <c r="W34" s="8"/>
      <c r="Y34" s="10" t="s">
        <v>90</v>
      </c>
      <c r="Z34" s="10" t="s">
        <v>94</v>
      </c>
    </row>
    <row r="35" spans="1:26" x14ac:dyDescent="0.2">
      <c r="A35" s="1" t="s">
        <v>66</v>
      </c>
      <c r="B35" s="1">
        <v>60</v>
      </c>
      <c r="D35" s="2" t="s">
        <v>66</v>
      </c>
      <c r="E35" s="2">
        <v>103.5</v>
      </c>
      <c r="G35" s="3" t="s">
        <v>66</v>
      </c>
      <c r="H35" s="3">
        <v>48</v>
      </c>
      <c r="J35" s="4" t="s">
        <v>66</v>
      </c>
      <c r="K35" s="4">
        <v>33</v>
      </c>
      <c r="M35" s="5" t="s">
        <v>66</v>
      </c>
      <c r="N35" s="5">
        <v>0</v>
      </c>
      <c r="P35" s="6" t="s">
        <v>66</v>
      </c>
      <c r="Q35" s="6">
        <v>0</v>
      </c>
      <c r="S35" s="7" t="s">
        <v>66</v>
      </c>
      <c r="T35" s="7">
        <v>0</v>
      </c>
      <c r="V35" s="8" t="s">
        <v>66</v>
      </c>
      <c r="W35" s="8">
        <v>23.7</v>
      </c>
      <c r="Y35" s="10" t="s">
        <v>66</v>
      </c>
      <c r="Z35" s="10">
        <v>0</v>
      </c>
    </row>
    <row r="36" spans="1:26" x14ac:dyDescent="0.2">
      <c r="A36" s="1" t="s">
        <v>67</v>
      </c>
      <c r="B36" s="1">
        <v>941</v>
      </c>
      <c r="D36" s="2" t="s">
        <v>67</v>
      </c>
      <c r="E36" s="2">
        <v>717.6</v>
      </c>
      <c r="G36" s="3" t="s">
        <v>67</v>
      </c>
      <c r="H36" s="3">
        <v>1499</v>
      </c>
      <c r="J36" s="4" t="s">
        <v>67</v>
      </c>
      <c r="K36" s="4">
        <v>452</v>
      </c>
      <c r="M36" s="5" t="s">
        <v>67</v>
      </c>
      <c r="N36" s="5">
        <v>201</v>
      </c>
      <c r="P36" s="6" t="s">
        <v>67</v>
      </c>
      <c r="Q36" s="6">
        <v>600</v>
      </c>
      <c r="S36" s="7" t="s">
        <v>67</v>
      </c>
      <c r="T36" s="7">
        <v>41</v>
      </c>
      <c r="V36" s="8" t="s">
        <v>67</v>
      </c>
      <c r="W36" s="8">
        <v>122.43</v>
      </c>
      <c r="Y36" s="10" t="s">
        <v>67</v>
      </c>
      <c r="Z36" s="10">
        <v>35</v>
      </c>
    </row>
    <row r="38" spans="1:26" x14ac:dyDescent="0.2">
      <c r="B38" t="s">
        <v>61</v>
      </c>
      <c r="J38" s="9"/>
      <c r="K38" t="s">
        <v>87</v>
      </c>
    </row>
    <row r="40" spans="1:26" x14ac:dyDescent="0.2">
      <c r="B40" t="s">
        <v>13</v>
      </c>
      <c r="C40" t="s">
        <v>14</v>
      </c>
      <c r="D40" t="s">
        <v>15</v>
      </c>
      <c r="E40" t="s">
        <v>16</v>
      </c>
      <c r="F40" t="s">
        <v>17</v>
      </c>
      <c r="G40" t="s">
        <v>18</v>
      </c>
      <c r="H40" t="s">
        <v>19</v>
      </c>
      <c r="J40" t="s">
        <v>72</v>
      </c>
      <c r="K40" t="s">
        <v>76</v>
      </c>
      <c r="L40" t="s">
        <v>73</v>
      </c>
      <c r="N40" t="s">
        <v>71</v>
      </c>
      <c r="O40" t="s">
        <v>77</v>
      </c>
    </row>
    <row r="42" spans="1:26" x14ac:dyDescent="0.2">
      <c r="A42" t="s">
        <v>78</v>
      </c>
      <c r="B42">
        <v>1</v>
      </c>
      <c r="C42">
        <v>0.5</v>
      </c>
      <c r="D42">
        <v>0</v>
      </c>
      <c r="E42">
        <v>0.5</v>
      </c>
      <c r="F42">
        <v>1</v>
      </c>
      <c r="G42">
        <v>1</v>
      </c>
      <c r="H42">
        <v>0</v>
      </c>
      <c r="J42">
        <f>SUM(B42, C42, D42, E42, F42, G42, H42 )</f>
        <v>4</v>
      </c>
      <c r="K42">
        <v>60</v>
      </c>
      <c r="L42">
        <v>887</v>
      </c>
      <c r="N42">
        <f>(J42*L42)</f>
        <v>3548</v>
      </c>
      <c r="O42">
        <f>(J42*K42)</f>
        <v>240</v>
      </c>
    </row>
    <row r="43" spans="1:26" x14ac:dyDescent="0.2">
      <c r="A43" t="s">
        <v>79</v>
      </c>
      <c r="B43">
        <v>0</v>
      </c>
      <c r="C43">
        <v>0</v>
      </c>
      <c r="D43">
        <v>1</v>
      </c>
      <c r="E43">
        <v>0</v>
      </c>
      <c r="F43">
        <v>0</v>
      </c>
      <c r="G43">
        <v>0</v>
      </c>
      <c r="H43">
        <v>1</v>
      </c>
      <c r="J43">
        <f t="shared" ref="J43:J52" si="0">SUM(B43, C43, D43, E43, F43, G43, H43 )</f>
        <v>2</v>
      </c>
      <c r="K43">
        <v>103.5</v>
      </c>
      <c r="L43">
        <v>540</v>
      </c>
      <c r="N43">
        <f t="shared" ref="N43:N52" si="1">(J43*L43)</f>
        <v>1080</v>
      </c>
      <c r="O43">
        <f t="shared" ref="O43:O52" si="2">(J43*K43)</f>
        <v>207</v>
      </c>
    </row>
    <row r="44" spans="1:26" x14ac:dyDescent="0.2">
      <c r="A44" s="9" t="s">
        <v>80</v>
      </c>
      <c r="B44" s="9">
        <v>0.3</v>
      </c>
      <c r="C44" s="9">
        <v>0.3</v>
      </c>
      <c r="D44" s="9">
        <v>0.3</v>
      </c>
      <c r="E44" s="9">
        <v>0.3</v>
      </c>
      <c r="F44" s="9">
        <v>0.3</v>
      </c>
      <c r="G44" s="9">
        <v>0.3</v>
      </c>
      <c r="H44" s="9">
        <v>0.2</v>
      </c>
      <c r="I44" s="9"/>
      <c r="J44" s="9">
        <f t="shared" si="0"/>
        <v>2</v>
      </c>
      <c r="K44" s="9">
        <v>0</v>
      </c>
      <c r="L44" s="9">
        <v>339</v>
      </c>
      <c r="M44" s="9"/>
      <c r="N44" s="9">
        <f t="shared" si="1"/>
        <v>678</v>
      </c>
      <c r="O44" s="9">
        <f t="shared" si="2"/>
        <v>0</v>
      </c>
    </row>
    <row r="45" spans="1:26" x14ac:dyDescent="0.2">
      <c r="A45" t="s">
        <v>81</v>
      </c>
      <c r="B45">
        <v>0</v>
      </c>
      <c r="C45">
        <v>0</v>
      </c>
      <c r="D45">
        <v>0</v>
      </c>
      <c r="E45">
        <v>0</v>
      </c>
      <c r="F45">
        <v>0</v>
      </c>
      <c r="G45">
        <v>1</v>
      </c>
      <c r="H45">
        <v>0</v>
      </c>
      <c r="J45">
        <f t="shared" si="0"/>
        <v>1</v>
      </c>
      <c r="K45">
        <v>33</v>
      </c>
      <c r="L45">
        <v>378</v>
      </c>
      <c r="N45">
        <f t="shared" si="1"/>
        <v>378</v>
      </c>
      <c r="O45">
        <f t="shared" si="2"/>
        <v>33</v>
      </c>
    </row>
    <row r="46" spans="1:26" x14ac:dyDescent="0.2">
      <c r="A46" t="s">
        <v>82</v>
      </c>
      <c r="B46">
        <v>0</v>
      </c>
      <c r="C46">
        <v>1</v>
      </c>
      <c r="D46">
        <v>1</v>
      </c>
      <c r="E46">
        <v>1</v>
      </c>
      <c r="F46">
        <v>0</v>
      </c>
      <c r="G46">
        <v>0</v>
      </c>
      <c r="H46">
        <v>0</v>
      </c>
      <c r="J46">
        <f t="shared" si="0"/>
        <v>3</v>
      </c>
      <c r="K46">
        <v>0</v>
      </c>
      <c r="L46">
        <v>600</v>
      </c>
      <c r="N46">
        <f>(J46*L46)</f>
        <v>1800</v>
      </c>
      <c r="O46">
        <f t="shared" si="2"/>
        <v>0</v>
      </c>
    </row>
    <row r="47" spans="1:26" x14ac:dyDescent="0.2">
      <c r="A47" s="9" t="s">
        <v>83</v>
      </c>
      <c r="B47" s="9">
        <v>5</v>
      </c>
      <c r="C47" s="9">
        <v>5</v>
      </c>
      <c r="D47" s="9">
        <v>5</v>
      </c>
      <c r="E47" s="9">
        <v>5</v>
      </c>
      <c r="F47" s="9">
        <v>5</v>
      </c>
      <c r="G47" s="9">
        <v>5</v>
      </c>
      <c r="H47" s="9">
        <v>5</v>
      </c>
      <c r="I47" s="9"/>
      <c r="J47" s="9">
        <f t="shared" si="0"/>
        <v>35</v>
      </c>
      <c r="K47" s="9">
        <v>0</v>
      </c>
      <c r="L47" s="9">
        <v>41</v>
      </c>
      <c r="M47" s="9"/>
      <c r="N47" s="9">
        <f t="shared" si="1"/>
        <v>1435</v>
      </c>
      <c r="O47" s="9">
        <f t="shared" si="2"/>
        <v>0</v>
      </c>
    </row>
    <row r="48" spans="1:26" x14ac:dyDescent="0.2">
      <c r="A48" t="s">
        <v>84</v>
      </c>
      <c r="B48">
        <v>3</v>
      </c>
      <c r="C48">
        <v>3</v>
      </c>
      <c r="D48">
        <v>3</v>
      </c>
      <c r="E48">
        <v>3</v>
      </c>
      <c r="F48">
        <v>3</v>
      </c>
      <c r="G48">
        <v>3</v>
      </c>
      <c r="H48">
        <v>3</v>
      </c>
      <c r="J48">
        <f t="shared" si="0"/>
        <v>21</v>
      </c>
      <c r="K48">
        <v>23.7</v>
      </c>
      <c r="L48">
        <v>122.43</v>
      </c>
      <c r="N48">
        <f t="shared" si="1"/>
        <v>2571.0300000000002</v>
      </c>
      <c r="O48">
        <f t="shared" si="2"/>
        <v>497.7</v>
      </c>
    </row>
    <row r="49" spans="1:15" x14ac:dyDescent="0.2">
      <c r="A49" t="s">
        <v>5</v>
      </c>
      <c r="B49">
        <v>0.3</v>
      </c>
      <c r="C49">
        <v>0.3</v>
      </c>
      <c r="D49">
        <v>0.3</v>
      </c>
      <c r="E49">
        <v>0.3</v>
      </c>
      <c r="F49">
        <v>0.3</v>
      </c>
      <c r="G49">
        <v>0.3</v>
      </c>
      <c r="H49">
        <v>0.2</v>
      </c>
      <c r="J49">
        <f t="shared" si="0"/>
        <v>2</v>
      </c>
      <c r="K49">
        <v>48</v>
      </c>
      <c r="L49">
        <v>1160</v>
      </c>
      <c r="N49">
        <f t="shared" si="1"/>
        <v>2320</v>
      </c>
      <c r="O49">
        <f t="shared" si="2"/>
        <v>96</v>
      </c>
    </row>
    <row r="50" spans="1:15" x14ac:dyDescent="0.2">
      <c r="A50" s="9" t="s">
        <v>85</v>
      </c>
      <c r="B50" s="9">
        <v>2</v>
      </c>
      <c r="C50" s="9">
        <v>1</v>
      </c>
      <c r="D50" s="9">
        <v>2</v>
      </c>
      <c r="E50" s="9">
        <v>1</v>
      </c>
      <c r="F50" s="9">
        <v>2</v>
      </c>
      <c r="G50" s="9">
        <v>4</v>
      </c>
      <c r="H50" s="9">
        <v>2</v>
      </c>
      <c r="I50" s="9"/>
      <c r="J50" s="9">
        <f t="shared" si="0"/>
        <v>14</v>
      </c>
      <c r="K50" s="9">
        <v>0</v>
      </c>
      <c r="L50" s="9">
        <v>27</v>
      </c>
      <c r="M50" s="9"/>
      <c r="N50" s="9">
        <f t="shared" si="1"/>
        <v>378</v>
      </c>
      <c r="O50" s="9">
        <f t="shared" si="2"/>
        <v>0</v>
      </c>
    </row>
    <row r="51" spans="1:15" x14ac:dyDescent="0.2">
      <c r="A51" s="9" t="s">
        <v>86</v>
      </c>
      <c r="B51" s="9">
        <v>0</v>
      </c>
      <c r="C51" s="9">
        <v>0</v>
      </c>
      <c r="D51" s="9">
        <v>1</v>
      </c>
      <c r="E51" s="9">
        <v>0</v>
      </c>
      <c r="F51" s="9">
        <v>0</v>
      </c>
      <c r="G51" s="9">
        <v>0</v>
      </c>
      <c r="H51" s="9">
        <v>1</v>
      </c>
      <c r="I51" s="9"/>
      <c r="J51" s="9">
        <f t="shared" si="0"/>
        <v>2</v>
      </c>
      <c r="K51" s="9">
        <v>0</v>
      </c>
      <c r="L51" s="9">
        <v>123.6</v>
      </c>
      <c r="M51" s="9"/>
      <c r="N51" s="9">
        <f t="shared" si="1"/>
        <v>247.2</v>
      </c>
      <c r="O51" s="9">
        <f t="shared" si="2"/>
        <v>0</v>
      </c>
    </row>
    <row r="52" spans="1:15" x14ac:dyDescent="0.2">
      <c r="A52" s="9" t="s">
        <v>58</v>
      </c>
      <c r="B52" s="9">
        <v>0</v>
      </c>
      <c r="C52" s="9">
        <v>0</v>
      </c>
      <c r="D52" s="9">
        <v>0.5</v>
      </c>
      <c r="E52" s="9">
        <v>0</v>
      </c>
      <c r="F52" s="9">
        <v>0</v>
      </c>
      <c r="G52" s="9">
        <v>0.1</v>
      </c>
      <c r="H52" s="9">
        <v>0.4</v>
      </c>
      <c r="I52" s="9"/>
      <c r="J52" s="9">
        <f t="shared" si="0"/>
        <v>1</v>
      </c>
      <c r="K52" s="9">
        <v>0</v>
      </c>
      <c r="L52" s="9">
        <v>695</v>
      </c>
      <c r="M52" s="9"/>
      <c r="N52" s="9">
        <f t="shared" si="1"/>
        <v>695</v>
      </c>
      <c r="O52" s="9">
        <f t="shared" si="2"/>
        <v>0</v>
      </c>
    </row>
    <row r="53" spans="1:15" x14ac:dyDescent="0.2">
      <c r="A53" s="9" t="s">
        <v>27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1</v>
      </c>
      <c r="H53" s="9">
        <v>0</v>
      </c>
      <c r="I53" s="9"/>
      <c r="J53" s="9">
        <v>1</v>
      </c>
      <c r="K53" s="9">
        <v>0</v>
      </c>
      <c r="L53" s="9">
        <v>20</v>
      </c>
      <c r="M53" s="9"/>
      <c r="N53" s="9">
        <v>20</v>
      </c>
      <c r="O53" s="9">
        <v>0</v>
      </c>
    </row>
    <row r="54" spans="1:15" x14ac:dyDescent="0.2">
      <c r="A54" s="9" t="s">
        <v>93</v>
      </c>
      <c r="B54" s="9">
        <v>1</v>
      </c>
      <c r="C54" s="9">
        <v>1</v>
      </c>
      <c r="D54" s="9">
        <v>1</v>
      </c>
      <c r="E54" s="9">
        <v>1</v>
      </c>
      <c r="F54" s="9">
        <v>1</v>
      </c>
      <c r="G54" s="9">
        <v>1</v>
      </c>
      <c r="H54" s="9">
        <v>1</v>
      </c>
      <c r="I54" s="9">
        <v>1</v>
      </c>
      <c r="J54" s="9">
        <v>1</v>
      </c>
      <c r="K54" s="9">
        <v>0</v>
      </c>
      <c r="L54" s="9">
        <v>35</v>
      </c>
      <c r="M54" s="9"/>
      <c r="N54" s="9">
        <v>245</v>
      </c>
      <c r="O54" s="9">
        <v>0</v>
      </c>
    </row>
    <row r="57" spans="1:15" x14ac:dyDescent="0.2">
      <c r="M57" t="s">
        <v>74</v>
      </c>
      <c r="N57">
        <f>SUM(N42:N54)</f>
        <v>15395.230000000001</v>
      </c>
      <c r="O57">
        <f>SUM(O42:O54)</f>
        <v>1073.7</v>
      </c>
    </row>
    <row r="59" spans="1:15" x14ac:dyDescent="0.2">
      <c r="M59" t="s">
        <v>75</v>
      </c>
      <c r="N59">
        <f>N57 / 7</f>
        <v>2199.3185714285714</v>
      </c>
      <c r="O59">
        <f>(O57/7)</f>
        <v>153.3857142857143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Calories of food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Wrishav Bhattacharyya</dc:creator>
  <cp:lastModifiedBy>Wrishav Bhattacharyya</cp:lastModifiedBy>
  <dcterms:created xsi:type="dcterms:W3CDTF">2026-07-13T04:22:48Z</dcterms:created>
  <dcterms:modified xsi:type="dcterms:W3CDTF">2026-07-19T18:29:27Z</dcterms:modified>
</cp:coreProperties>
</file>