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rishavb/Desktop/"/>
    </mc:Choice>
  </mc:AlternateContent>
  <xr:revisionPtr revIDLastSave="0" documentId="13_ncr:1_{AA31C744-0632-644A-B55D-F63BCF4FF75F}" xr6:coauthVersionLast="47" xr6:coauthVersionMax="47" xr10:uidLastSave="{00000000-0000-0000-0000-000000000000}"/>
  <bookViews>
    <workbookView xWindow="0" yWindow="760" windowWidth="34560" windowHeight="21580" xr2:uid="{702C079E-730B-1F4D-B170-1585BC693E47}"/>
  </bookViews>
  <sheets>
    <sheet name="Calories of foo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52" i="1" l="1"/>
  <c r="O50" i="1"/>
  <c r="O40" i="1"/>
  <c r="O41" i="1"/>
  <c r="O42" i="1"/>
  <c r="O43" i="1"/>
  <c r="O44" i="1"/>
  <c r="O45" i="1"/>
  <c r="O39" i="1"/>
  <c r="N52" i="1"/>
  <c r="N50" i="1"/>
  <c r="N40" i="1"/>
  <c r="N41" i="1"/>
  <c r="N42" i="1"/>
  <c r="N43" i="1"/>
  <c r="N44" i="1"/>
  <c r="N45" i="1"/>
  <c r="N39" i="1"/>
  <c r="J40" i="1"/>
  <c r="J41" i="1"/>
  <c r="J42" i="1"/>
  <c r="J43" i="1"/>
  <c r="J44" i="1"/>
  <c r="J45" i="1"/>
  <c r="J39" i="1"/>
</calcChain>
</file>

<file path=xl/sharedStrings.xml><?xml version="1.0" encoding="utf-8"?>
<sst xmlns="http://schemas.openxmlformats.org/spreadsheetml/2006/main" count="110" uniqueCount="85">
  <si>
    <t>Food Item</t>
  </si>
  <si>
    <t>Protein / 100g</t>
  </si>
  <si>
    <t>Kcal / 100g</t>
  </si>
  <si>
    <t>Carbs / 100g</t>
  </si>
  <si>
    <t>Fat/100g</t>
  </si>
  <si>
    <t>Almond Butter</t>
  </si>
  <si>
    <t>Anjeer</t>
  </si>
  <si>
    <t>Red Lentils Daal</t>
  </si>
  <si>
    <t>Yellow Moong Daal</t>
  </si>
  <si>
    <t>Chana Daal</t>
  </si>
  <si>
    <t>Chicken breast</t>
  </si>
  <si>
    <t>Digestive Biscuits</t>
  </si>
  <si>
    <t>Protein Shake</t>
  </si>
  <si>
    <t>Monday</t>
  </si>
  <si>
    <t>Tuesday</t>
  </si>
  <si>
    <t>Wednesday</t>
  </si>
  <si>
    <t>Thursday</t>
  </si>
  <si>
    <t>Friday</t>
  </si>
  <si>
    <t>Saturday</t>
  </si>
  <si>
    <t>Sunday</t>
  </si>
  <si>
    <t>Banana</t>
  </si>
  <si>
    <t>Watermelon</t>
  </si>
  <si>
    <t>Dates</t>
  </si>
  <si>
    <t>Adhoc Snacks</t>
  </si>
  <si>
    <t>Oil</t>
  </si>
  <si>
    <t>Pre Workout</t>
  </si>
  <si>
    <t>Curd</t>
  </si>
  <si>
    <t>Veggies</t>
  </si>
  <si>
    <t>Chicken Meal</t>
  </si>
  <si>
    <t xml:space="preserve">Daal Meal </t>
  </si>
  <si>
    <t xml:space="preserve"> </t>
  </si>
  <si>
    <t>Yellow Moong Daal uncooked</t>
  </si>
  <si>
    <t>100g</t>
  </si>
  <si>
    <t>Red Lentils uncooked</t>
  </si>
  <si>
    <t>Chana daal uncooked</t>
  </si>
  <si>
    <t>50g</t>
  </si>
  <si>
    <t xml:space="preserve">2 my spoon oil </t>
  </si>
  <si>
    <t>6g</t>
  </si>
  <si>
    <t>1 pouch maggie maggic masala</t>
  </si>
  <si>
    <t>Chicken Breast</t>
  </si>
  <si>
    <t>450g</t>
  </si>
  <si>
    <t>200g</t>
  </si>
  <si>
    <t>1 my spoon of ginger garlic paste</t>
  </si>
  <si>
    <t>1 my spoon of rice flour</t>
  </si>
  <si>
    <t xml:space="preserve">Anjeer </t>
  </si>
  <si>
    <t>Almond butter</t>
  </si>
  <si>
    <t>2 my spoon oil</t>
  </si>
  <si>
    <t>Egg Breakfast</t>
  </si>
  <si>
    <t>6 eggs</t>
  </si>
  <si>
    <t>some veggies</t>
  </si>
  <si>
    <t>30g</t>
  </si>
  <si>
    <t>42(sugar)</t>
  </si>
  <si>
    <t xml:space="preserve">Eggs ( 1egg macro ) </t>
  </si>
  <si>
    <t>65(sugar)</t>
  </si>
  <si>
    <t xml:space="preserve">Meals </t>
  </si>
  <si>
    <t>Banana (edible portion)</t>
  </si>
  <si>
    <t>Watermelon ( edible portion)</t>
  </si>
  <si>
    <t>Dates (edible portion)</t>
  </si>
  <si>
    <t>Garlic Butter</t>
  </si>
  <si>
    <t xml:space="preserve">0 calories </t>
  </si>
  <si>
    <t>0 calories</t>
  </si>
  <si>
    <t xml:space="preserve">below the numbers represent x meaning , the meal mentioned in colours times x portion is what am having </t>
  </si>
  <si>
    <t>Office Lunch</t>
  </si>
  <si>
    <t>600 kcal</t>
  </si>
  <si>
    <t>Digestive Biscuit</t>
  </si>
  <si>
    <t>1 biscuit 8.5g</t>
  </si>
  <si>
    <t>Protein</t>
  </si>
  <si>
    <t>Energy</t>
  </si>
  <si>
    <t>25g</t>
  </si>
  <si>
    <t xml:space="preserve">Protein shake 1 scoop </t>
  </si>
  <si>
    <t xml:space="preserve">1 scoop </t>
  </si>
  <si>
    <t>Total Kcal</t>
  </si>
  <si>
    <t>Daal Meal (B33)</t>
  </si>
  <si>
    <t>Chicken Meal (E33)</t>
  </si>
  <si>
    <t>Adhoc Snacks (H33)</t>
  </si>
  <si>
    <t>Digestive Biscuits (T33)</t>
  </si>
  <si>
    <t>Protein Shake (W33)</t>
  </si>
  <si>
    <t>Egg Breakfast (K33)</t>
  </si>
  <si>
    <t>Office Meal ( Q33)</t>
  </si>
  <si>
    <t>Total Units</t>
  </si>
  <si>
    <t>kcal of meal</t>
  </si>
  <si>
    <t>Weekly Total</t>
  </si>
  <si>
    <t>Weekly Avg</t>
  </si>
  <si>
    <t>Protein of meal</t>
  </si>
  <si>
    <t>Total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</si>
</sst>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D917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D91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CFC55-D2EC-5B4F-9B2D-EBE6F4AC41F4}">
  <dimension ref="A3:W52"/>
  <sheetViews>
    <sheetView tabSelected="1" topLeftCell="A6" workbookViewId="0">
      <selection activeCell="S39" sqref="S39"/>
    </sheetView>
  </sheetViews>
  <sheetFormatPr baseColWidth="10" defaultRowHeight="16" x14ac:dyDescent="0.2"/>
  <cols>
    <col min="1" max="1" width="30.5" customWidth="1"/>
    <col min="2" max="2" width="6.6640625" customWidth="1"/>
    <col min="3" max="3" width="7" customWidth="1"/>
    <col min="4" max="4" width="25.83203125" customWidth="1"/>
    <col min="5" max="5" width="9.1640625" customWidth="1"/>
    <col min="6" max="6" width="8.6640625" customWidth="1"/>
    <col min="7" max="7" width="12.33203125" customWidth="1"/>
    <col min="10" max="10" width="14.83203125" customWidth="1"/>
    <col min="11" max="11" width="14" customWidth="1"/>
    <col min="13" max="13" width="11.1640625" customWidth="1"/>
  </cols>
  <sheetData>
    <row r="3" spans="1:5" x14ac:dyDescent="0.2">
      <c r="A3" t="s">
        <v>0</v>
      </c>
      <c r="B3" t="s">
        <v>2</v>
      </c>
      <c r="C3" t="s">
        <v>1</v>
      </c>
      <c r="D3" t="s">
        <v>3</v>
      </c>
      <c r="E3" t="s">
        <v>4</v>
      </c>
    </row>
    <row r="5" spans="1:5" x14ac:dyDescent="0.2">
      <c r="A5" t="s">
        <v>5</v>
      </c>
      <c r="B5">
        <v>580</v>
      </c>
      <c r="C5">
        <v>24</v>
      </c>
      <c r="D5">
        <v>22</v>
      </c>
      <c r="E5">
        <v>49</v>
      </c>
    </row>
    <row r="6" spans="1:5" x14ac:dyDescent="0.2">
      <c r="A6" t="s">
        <v>6</v>
      </c>
      <c r="B6">
        <v>339</v>
      </c>
      <c r="C6">
        <v>0</v>
      </c>
      <c r="D6">
        <v>82</v>
      </c>
      <c r="E6" t="s">
        <v>51</v>
      </c>
    </row>
    <row r="7" spans="1:5" x14ac:dyDescent="0.2">
      <c r="A7" t="s">
        <v>8</v>
      </c>
      <c r="B7">
        <v>347</v>
      </c>
      <c r="C7">
        <v>24</v>
      </c>
      <c r="D7">
        <v>63</v>
      </c>
      <c r="E7">
        <v>1.2</v>
      </c>
    </row>
    <row r="8" spans="1:5" x14ac:dyDescent="0.2">
      <c r="A8" t="s">
        <v>7</v>
      </c>
      <c r="B8">
        <v>350</v>
      </c>
      <c r="C8">
        <v>25</v>
      </c>
      <c r="D8">
        <v>60</v>
      </c>
      <c r="E8">
        <v>1</v>
      </c>
    </row>
    <row r="9" spans="1:5" x14ac:dyDescent="0.2">
      <c r="A9" t="s">
        <v>9</v>
      </c>
      <c r="B9">
        <v>380</v>
      </c>
      <c r="C9">
        <v>22</v>
      </c>
      <c r="D9">
        <v>63</v>
      </c>
      <c r="E9">
        <v>6</v>
      </c>
    </row>
    <row r="10" spans="1:5" x14ac:dyDescent="0.2">
      <c r="A10" t="s">
        <v>10</v>
      </c>
      <c r="B10">
        <v>120</v>
      </c>
      <c r="C10">
        <v>23</v>
      </c>
      <c r="D10">
        <v>0</v>
      </c>
      <c r="E10">
        <v>2.6</v>
      </c>
    </row>
    <row r="11" spans="1:5" x14ac:dyDescent="0.2">
      <c r="A11" t="s">
        <v>11</v>
      </c>
      <c r="B11">
        <v>483</v>
      </c>
      <c r="C11">
        <v>0</v>
      </c>
      <c r="D11">
        <v>68</v>
      </c>
      <c r="E11">
        <v>20.8</v>
      </c>
    </row>
    <row r="12" spans="1:5" x14ac:dyDescent="0.2">
      <c r="A12" t="s">
        <v>12</v>
      </c>
      <c r="B12">
        <v>408.1</v>
      </c>
      <c r="C12">
        <v>79</v>
      </c>
      <c r="D12">
        <v>8.4</v>
      </c>
      <c r="E12">
        <v>6.5</v>
      </c>
    </row>
    <row r="13" spans="1:5" x14ac:dyDescent="0.2">
      <c r="A13" t="s">
        <v>55</v>
      </c>
      <c r="B13">
        <v>89</v>
      </c>
      <c r="C13">
        <v>0</v>
      </c>
      <c r="D13">
        <v>23</v>
      </c>
      <c r="E13">
        <v>0.3</v>
      </c>
    </row>
    <row r="14" spans="1:5" x14ac:dyDescent="0.2">
      <c r="A14" t="s">
        <v>56</v>
      </c>
      <c r="B14">
        <v>30</v>
      </c>
      <c r="C14">
        <v>0</v>
      </c>
      <c r="D14">
        <v>8</v>
      </c>
      <c r="E14">
        <v>0.2</v>
      </c>
    </row>
    <row r="15" spans="1:5" x14ac:dyDescent="0.2">
      <c r="A15" t="s">
        <v>57</v>
      </c>
      <c r="B15">
        <v>328</v>
      </c>
      <c r="C15">
        <v>0</v>
      </c>
      <c r="D15">
        <v>80</v>
      </c>
      <c r="E15" t="s">
        <v>53</v>
      </c>
    </row>
    <row r="16" spans="1:5" x14ac:dyDescent="0.2">
      <c r="A16" t="s">
        <v>24</v>
      </c>
      <c r="B16">
        <v>900</v>
      </c>
      <c r="C16">
        <v>0</v>
      </c>
      <c r="D16">
        <v>0</v>
      </c>
      <c r="E16">
        <v>100</v>
      </c>
    </row>
    <row r="17" spans="1:23" x14ac:dyDescent="0.2">
      <c r="A17" t="s">
        <v>52</v>
      </c>
      <c r="B17">
        <v>63</v>
      </c>
      <c r="C17">
        <v>5.5</v>
      </c>
      <c r="D17">
        <v>0.3</v>
      </c>
      <c r="E17">
        <v>4.2</v>
      </c>
    </row>
    <row r="18" spans="1:23" x14ac:dyDescent="0.2">
      <c r="A18" t="s">
        <v>26</v>
      </c>
      <c r="B18">
        <v>61.8</v>
      </c>
      <c r="C18">
        <v>0</v>
      </c>
      <c r="D18">
        <v>5.2</v>
      </c>
      <c r="E18">
        <v>3</v>
      </c>
    </row>
    <row r="19" spans="1:23" x14ac:dyDescent="0.2">
      <c r="A19" t="s">
        <v>58</v>
      </c>
      <c r="B19">
        <v>695</v>
      </c>
      <c r="C19">
        <v>0</v>
      </c>
      <c r="D19">
        <v>0</v>
      </c>
      <c r="E19">
        <v>77</v>
      </c>
    </row>
    <row r="20" spans="1:23" x14ac:dyDescent="0.2">
      <c r="A20" t="s">
        <v>27</v>
      </c>
      <c r="B20">
        <v>20</v>
      </c>
      <c r="C20">
        <v>0</v>
      </c>
      <c r="D20">
        <v>4</v>
      </c>
      <c r="E20">
        <v>0</v>
      </c>
    </row>
    <row r="23" spans="1:23" x14ac:dyDescent="0.2">
      <c r="A23" t="s">
        <v>54</v>
      </c>
    </row>
    <row r="25" spans="1:23" x14ac:dyDescent="0.2">
      <c r="A25" s="1" t="s">
        <v>29</v>
      </c>
      <c r="B25" s="1" t="s">
        <v>30</v>
      </c>
      <c r="D25" s="2" t="s">
        <v>28</v>
      </c>
      <c r="E25" s="2"/>
      <c r="G25" s="3" t="s">
        <v>23</v>
      </c>
      <c r="H25" s="3"/>
      <c r="J25" s="4" t="s">
        <v>47</v>
      </c>
      <c r="K25" s="4"/>
      <c r="M25" s="5" t="s">
        <v>25</v>
      </c>
      <c r="N25" s="5"/>
      <c r="P25" s="6" t="s">
        <v>62</v>
      </c>
      <c r="Q25" s="6"/>
      <c r="S25" s="7" t="s">
        <v>64</v>
      </c>
      <c r="T25" s="7"/>
      <c r="V25" s="8" t="s">
        <v>69</v>
      </c>
      <c r="W25" s="8"/>
    </row>
    <row r="26" spans="1:23" x14ac:dyDescent="0.2">
      <c r="A26" s="1"/>
      <c r="B26" s="1"/>
      <c r="D26" s="2"/>
      <c r="E26" s="2"/>
      <c r="G26" s="3"/>
      <c r="H26" s="3"/>
      <c r="J26" s="4"/>
      <c r="K26" s="4"/>
      <c r="M26" s="5"/>
      <c r="N26" s="5"/>
      <c r="P26" s="6"/>
      <c r="Q26" s="6"/>
      <c r="S26" s="7"/>
      <c r="T26" s="7"/>
      <c r="V26" s="8"/>
      <c r="W26" s="8"/>
    </row>
    <row r="27" spans="1:23" x14ac:dyDescent="0.2">
      <c r="A27" s="1" t="s">
        <v>31</v>
      </c>
      <c r="B27" s="1" t="s">
        <v>32</v>
      </c>
      <c r="D27" s="2" t="s">
        <v>39</v>
      </c>
      <c r="E27" s="2" t="s">
        <v>40</v>
      </c>
      <c r="G27" s="3" t="s">
        <v>44</v>
      </c>
      <c r="H27" s="3" t="s">
        <v>32</v>
      </c>
      <c r="J27" s="4" t="s">
        <v>48</v>
      </c>
      <c r="K27" s="4"/>
      <c r="M27" s="5" t="s">
        <v>20</v>
      </c>
      <c r="N27" s="5" t="s">
        <v>32</v>
      </c>
      <c r="P27" s="6" t="s">
        <v>63</v>
      </c>
      <c r="Q27" s="6"/>
      <c r="S27" s="7" t="s">
        <v>65</v>
      </c>
      <c r="T27" s="7"/>
      <c r="V27" s="8" t="s">
        <v>70</v>
      </c>
      <c r="W27" s="8" t="s">
        <v>50</v>
      </c>
    </row>
    <row r="28" spans="1:23" x14ac:dyDescent="0.2">
      <c r="A28" s="1" t="s">
        <v>33</v>
      </c>
      <c r="B28" s="1" t="s">
        <v>32</v>
      </c>
      <c r="D28" s="2" t="s">
        <v>26</v>
      </c>
      <c r="E28" s="2" t="s">
        <v>41</v>
      </c>
      <c r="G28" s="3" t="s">
        <v>45</v>
      </c>
      <c r="H28" s="3" t="s">
        <v>41</v>
      </c>
      <c r="J28" s="4" t="s">
        <v>46</v>
      </c>
      <c r="K28" s="4" t="s">
        <v>37</v>
      </c>
      <c r="M28" s="5" t="s">
        <v>21</v>
      </c>
      <c r="N28" s="5" t="s">
        <v>32</v>
      </c>
      <c r="P28" s="6"/>
      <c r="Q28" s="6"/>
      <c r="S28" s="7"/>
      <c r="T28" s="7"/>
      <c r="V28" s="8"/>
      <c r="W28" s="8"/>
    </row>
    <row r="29" spans="1:23" x14ac:dyDescent="0.2">
      <c r="A29" s="1" t="s">
        <v>34</v>
      </c>
      <c r="B29" s="1" t="s">
        <v>35</v>
      </c>
      <c r="D29" s="2" t="s">
        <v>42</v>
      </c>
      <c r="E29" s="2" t="s">
        <v>60</v>
      </c>
      <c r="G29" s="3"/>
      <c r="H29" s="3"/>
      <c r="J29" s="4" t="s">
        <v>49</v>
      </c>
      <c r="K29" s="4" t="s">
        <v>32</v>
      </c>
      <c r="M29" s="5" t="s">
        <v>22</v>
      </c>
      <c r="N29" s="5" t="s">
        <v>68</v>
      </c>
      <c r="P29" s="6"/>
      <c r="Q29" s="6"/>
      <c r="S29" s="7"/>
      <c r="T29" s="7"/>
      <c r="V29" s="8"/>
      <c r="W29" s="8"/>
    </row>
    <row r="30" spans="1:23" x14ac:dyDescent="0.2">
      <c r="A30" s="1" t="s">
        <v>36</v>
      </c>
      <c r="B30" s="1" t="s">
        <v>37</v>
      </c>
      <c r="D30" s="2" t="s">
        <v>43</v>
      </c>
      <c r="E30" s="2" t="s">
        <v>60</v>
      </c>
      <c r="G30" s="3"/>
      <c r="H30" s="3"/>
      <c r="J30" s="4"/>
      <c r="K30" s="4"/>
      <c r="M30" s="5"/>
      <c r="N30" s="5"/>
      <c r="P30" s="6"/>
      <c r="Q30" s="6"/>
      <c r="S30" s="7"/>
      <c r="T30" s="7"/>
      <c r="V30" s="8"/>
      <c r="W30" s="8"/>
    </row>
    <row r="31" spans="1:23" x14ac:dyDescent="0.2">
      <c r="A31" s="1" t="s">
        <v>38</v>
      </c>
      <c r="B31" s="1" t="s">
        <v>59</v>
      </c>
      <c r="D31" s="2" t="s">
        <v>46</v>
      </c>
      <c r="E31" s="2" t="s">
        <v>37</v>
      </c>
      <c r="G31" s="3"/>
      <c r="H31" s="3"/>
      <c r="J31" s="4"/>
      <c r="K31" s="4"/>
      <c r="M31" s="5"/>
      <c r="N31" s="5"/>
      <c r="P31" s="6"/>
      <c r="Q31" s="6"/>
      <c r="S31" s="7"/>
      <c r="T31" s="7"/>
      <c r="V31" s="8"/>
      <c r="W31" s="8"/>
    </row>
    <row r="32" spans="1:23" x14ac:dyDescent="0.2">
      <c r="A32" s="1" t="s">
        <v>66</v>
      </c>
      <c r="B32" s="1">
        <v>60</v>
      </c>
      <c r="D32" s="2" t="s">
        <v>66</v>
      </c>
      <c r="E32" s="2">
        <v>103.5</v>
      </c>
      <c r="G32" s="3" t="s">
        <v>66</v>
      </c>
      <c r="H32" s="3">
        <v>48</v>
      </c>
      <c r="J32" s="4" t="s">
        <v>66</v>
      </c>
      <c r="K32" s="4">
        <v>33</v>
      </c>
      <c r="M32" s="5" t="s">
        <v>66</v>
      </c>
      <c r="N32" s="5">
        <v>0</v>
      </c>
      <c r="P32" s="6" t="s">
        <v>66</v>
      </c>
      <c r="Q32" s="6">
        <v>0</v>
      </c>
      <c r="S32" s="7" t="s">
        <v>66</v>
      </c>
      <c r="T32" s="7">
        <v>0</v>
      </c>
      <c r="V32" s="8" t="s">
        <v>66</v>
      </c>
      <c r="W32" s="8">
        <v>23.7</v>
      </c>
    </row>
    <row r="33" spans="1:23" x14ac:dyDescent="0.2">
      <c r="A33" s="1" t="s">
        <v>67</v>
      </c>
      <c r="B33" s="1">
        <v>941</v>
      </c>
      <c r="D33" s="2" t="s">
        <v>67</v>
      </c>
      <c r="E33" s="2">
        <v>717.6</v>
      </c>
      <c r="G33" s="3" t="s">
        <v>67</v>
      </c>
      <c r="H33" s="3">
        <v>1499</v>
      </c>
      <c r="J33" s="4" t="s">
        <v>67</v>
      </c>
      <c r="K33" s="4">
        <v>452</v>
      </c>
      <c r="M33" s="5" t="s">
        <v>67</v>
      </c>
      <c r="N33" s="5">
        <v>201</v>
      </c>
      <c r="P33" s="6" t="s">
        <v>67</v>
      </c>
      <c r="Q33" s="6">
        <v>600</v>
      </c>
      <c r="S33" s="7" t="s">
        <v>67</v>
      </c>
      <c r="T33" s="7">
        <v>41</v>
      </c>
      <c r="V33" s="8" t="s">
        <v>67</v>
      </c>
      <c r="W33" s="8">
        <v>122.43</v>
      </c>
    </row>
    <row r="35" spans="1:23" x14ac:dyDescent="0.2">
      <c r="B35" t="s">
        <v>61</v>
      </c>
    </row>
    <row r="37" spans="1:23" x14ac:dyDescent="0.2"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J37" t="s">
        <v>79</v>
      </c>
      <c r="K37" t="s">
        <v>83</v>
      </c>
      <c r="L37" t="s">
        <v>80</v>
      </c>
      <c r="N37" t="s">
        <v>71</v>
      </c>
      <c r="O37" t="s">
        <v>84</v>
      </c>
    </row>
    <row r="39" spans="1:23" x14ac:dyDescent="0.2">
      <c r="A39" t="s">
        <v>72</v>
      </c>
      <c r="B39">
        <v>1</v>
      </c>
      <c r="C39">
        <v>0.5</v>
      </c>
      <c r="D39">
        <v>0</v>
      </c>
      <c r="E39">
        <v>0.5</v>
      </c>
      <c r="F39">
        <v>1</v>
      </c>
      <c r="G39">
        <v>1</v>
      </c>
      <c r="H39">
        <v>0</v>
      </c>
      <c r="J39">
        <f>SUM(B39, C39, D39, E39, F39, G39, H39 )</f>
        <v>4</v>
      </c>
      <c r="K39">
        <v>60</v>
      </c>
      <c r="L39">
        <v>941</v>
      </c>
      <c r="N39">
        <f>(J39*L39)</f>
        <v>3764</v>
      </c>
      <c r="O39">
        <f>(J39*K39)</f>
        <v>240</v>
      </c>
    </row>
    <row r="40" spans="1:23" x14ac:dyDescent="0.2">
      <c r="A40" t="s">
        <v>73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1</v>
      </c>
      <c r="J40">
        <f t="shared" ref="J40:J45" si="0">SUM(B40, C40, D40, E40, F40, G40, H40 )</f>
        <v>2</v>
      </c>
      <c r="K40">
        <v>103.5</v>
      </c>
      <c r="L40">
        <v>717.6</v>
      </c>
      <c r="N40">
        <f t="shared" ref="N40:N45" si="1">(J40*L40)</f>
        <v>1435.2</v>
      </c>
      <c r="O40">
        <f t="shared" ref="O40:O45" si="2">(J40*K40)</f>
        <v>207</v>
      </c>
    </row>
    <row r="41" spans="1:23" x14ac:dyDescent="0.2">
      <c r="A41" t="s">
        <v>74</v>
      </c>
      <c r="B41">
        <v>0.3</v>
      </c>
      <c r="C41">
        <v>0.3</v>
      </c>
      <c r="D41">
        <v>0.3</v>
      </c>
      <c r="E41">
        <v>0.3</v>
      </c>
      <c r="F41">
        <v>0.3</v>
      </c>
      <c r="G41">
        <v>0.3</v>
      </c>
      <c r="H41">
        <v>0.2</v>
      </c>
      <c r="J41">
        <f t="shared" si="0"/>
        <v>2</v>
      </c>
      <c r="K41">
        <v>48</v>
      </c>
      <c r="L41">
        <v>1499</v>
      </c>
      <c r="N41">
        <f t="shared" si="1"/>
        <v>2998</v>
      </c>
      <c r="O41">
        <f t="shared" si="2"/>
        <v>96</v>
      </c>
    </row>
    <row r="42" spans="1:23" x14ac:dyDescent="0.2">
      <c r="A42" t="s">
        <v>77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0</v>
      </c>
      <c r="J42">
        <f t="shared" si="0"/>
        <v>1</v>
      </c>
      <c r="K42">
        <v>33</v>
      </c>
      <c r="L42">
        <v>452</v>
      </c>
      <c r="N42">
        <f t="shared" si="1"/>
        <v>452</v>
      </c>
      <c r="O42">
        <f t="shared" si="2"/>
        <v>33</v>
      </c>
    </row>
    <row r="43" spans="1:23" x14ac:dyDescent="0.2">
      <c r="A43" t="s">
        <v>78</v>
      </c>
      <c r="B43">
        <v>0</v>
      </c>
      <c r="C43">
        <v>1</v>
      </c>
      <c r="D43">
        <v>1</v>
      </c>
      <c r="E43">
        <v>1</v>
      </c>
      <c r="F43">
        <v>0</v>
      </c>
      <c r="G43">
        <v>0</v>
      </c>
      <c r="H43">
        <v>0</v>
      </c>
      <c r="J43">
        <f t="shared" si="0"/>
        <v>3</v>
      </c>
      <c r="K43">
        <v>0</v>
      </c>
      <c r="L43">
        <v>600</v>
      </c>
      <c r="N43">
        <f t="shared" si="1"/>
        <v>1800</v>
      </c>
      <c r="O43">
        <f t="shared" si="2"/>
        <v>0</v>
      </c>
    </row>
    <row r="44" spans="1:23" x14ac:dyDescent="0.2">
      <c r="A44" t="s">
        <v>75</v>
      </c>
      <c r="B44">
        <v>5</v>
      </c>
      <c r="C44">
        <v>5</v>
      </c>
      <c r="D44">
        <v>5</v>
      </c>
      <c r="E44">
        <v>5</v>
      </c>
      <c r="F44">
        <v>5</v>
      </c>
      <c r="G44">
        <v>5</v>
      </c>
      <c r="H44">
        <v>5</v>
      </c>
      <c r="J44">
        <f t="shared" si="0"/>
        <v>35</v>
      </c>
      <c r="K44">
        <v>0</v>
      </c>
      <c r="L44">
        <v>41</v>
      </c>
      <c r="N44">
        <f t="shared" si="1"/>
        <v>1435</v>
      </c>
      <c r="O44">
        <f t="shared" si="2"/>
        <v>0</v>
      </c>
    </row>
    <row r="45" spans="1:23" x14ac:dyDescent="0.2">
      <c r="A45" t="s">
        <v>76</v>
      </c>
      <c r="B45">
        <v>3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J45">
        <f t="shared" si="0"/>
        <v>21</v>
      </c>
      <c r="K45">
        <v>23.7</v>
      </c>
      <c r="L45">
        <v>122.43</v>
      </c>
      <c r="N45">
        <f t="shared" si="1"/>
        <v>2571.0300000000002</v>
      </c>
      <c r="O45">
        <f t="shared" si="2"/>
        <v>497.7</v>
      </c>
    </row>
    <row r="50" spans="13:15" x14ac:dyDescent="0.2">
      <c r="M50" t="s">
        <v>81</v>
      </c>
      <c r="N50">
        <f>SUM(N39:N45)</f>
        <v>14455.230000000001</v>
      </c>
      <c r="O50">
        <f>SUM(O39:O45)</f>
        <v>1073.7</v>
      </c>
    </row>
    <row r="52" spans="13:15" x14ac:dyDescent="0.2">
      <c r="M52" t="s">
        <v>82</v>
      </c>
      <c r="N52">
        <f>N50 / 7</f>
        <v>2065.0328571428572</v>
      </c>
      <c r="O52">
        <f>(O50/7)</f>
        <v>153.3857142857143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Calories of food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Wrishav Bhattacharyya</dc:creator>
  <cp:lastModifiedBy>Wrishav Bhattacharyya</cp:lastModifiedBy>
  <dcterms:created xsi:type="dcterms:W3CDTF">2026-07-13T04:22:48Z</dcterms:created>
  <dcterms:modified xsi:type="dcterms:W3CDTF">2026-07-19T13:48:25Z</dcterms:modified>
</cp:coreProperties>
</file>